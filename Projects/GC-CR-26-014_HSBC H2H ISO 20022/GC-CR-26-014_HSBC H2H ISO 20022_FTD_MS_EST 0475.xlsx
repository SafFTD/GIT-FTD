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ndix-my.sharepoint.com/personal/mohammeds_fortude_co/Documents/All project files/Projects/GC/GC-CR-26-014_HSBC H2H ISO 20022/"/>
    </mc:Choice>
  </mc:AlternateContent>
  <xr:revisionPtr revIDLastSave="3" documentId="13_ncr:1_{04B7F1DE-6972-4CB3-ABD0-4CCF8B110E4E}" xr6:coauthVersionLast="47" xr6:coauthVersionMax="47" xr10:uidLastSave="{9A8C4B18-E8D1-402C-BF8F-6E460AFBF989}"/>
  <bookViews>
    <workbookView xWindow="-108" yWindow="-108" windowWidth="23256" windowHeight="12456" activeTab="1" xr2:uid="{00000000-000D-0000-FFFF-FFFF00000000}"/>
  </bookViews>
  <sheets>
    <sheet name="Classification" sheetId="5" r:id="rId1"/>
    <sheet name="Summary" sheetId="1" r:id="rId2"/>
    <sheet name="Task Breakdown" sheetId="2" r:id="rId3"/>
    <sheet name="Test Scenarios" sheetId="4" r:id="rId4"/>
    <sheet name="Scope" sheetId="7" r:id="rId5"/>
    <sheet name="Assumptions" sheetId="3" r:id="rId6"/>
    <sheet name="Template Version Upd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3" i="2" l="1"/>
  <c r="D43" i="2"/>
  <c r="D44" i="2"/>
  <c r="E44" i="2"/>
  <c r="F44" i="2"/>
  <c r="F46" i="2" s="1"/>
  <c r="G44" i="2"/>
  <c r="H44" i="2"/>
  <c r="I44" i="2"/>
  <c r="I46" i="2" s="1"/>
  <c r="J44" i="2"/>
  <c r="J46" i="2" s="1"/>
  <c r="F43" i="2"/>
  <c r="G43" i="2"/>
  <c r="H43" i="2"/>
  <c r="I43" i="2"/>
  <c r="J43" i="2"/>
  <c r="B10" i="1" l="1"/>
  <c r="B11" i="1"/>
  <c r="H46" i="2"/>
  <c r="G46" i="2"/>
  <c r="E46" i="2"/>
  <c r="D46" i="2" l="1"/>
  <c r="C47" i="2" s="1"/>
</calcChain>
</file>

<file path=xl/sharedStrings.xml><?xml version="1.0" encoding="utf-8"?>
<sst xmlns="http://schemas.openxmlformats.org/spreadsheetml/2006/main" count="190" uniqueCount="119">
  <si>
    <t>Discovery</t>
  </si>
  <si>
    <t>Elaborate</t>
  </si>
  <si>
    <t>Functional Specification Update/Create</t>
  </si>
  <si>
    <t>Key User training</t>
  </si>
  <si>
    <t>User Manuals/Documentation</t>
  </si>
  <si>
    <t>Business Requirement Study</t>
  </si>
  <si>
    <t>Documentation of Requirements</t>
  </si>
  <si>
    <t>M3 Configuration Activities (Non-Production)</t>
  </si>
  <si>
    <t>M3 Configuration Activities (Production)</t>
  </si>
  <si>
    <t>Transition</t>
  </si>
  <si>
    <t>(Billable)</t>
  </si>
  <si>
    <t>Post verification testing</t>
  </si>
  <si>
    <t>Production Deployment Forms/Requests</t>
  </si>
  <si>
    <t>Functional Consultant Finance (Hrs)</t>
  </si>
  <si>
    <t>Functional Consultant Non-Finance (Hrs)</t>
  </si>
  <si>
    <t>Estimate Summary</t>
  </si>
  <si>
    <t>Document Control</t>
  </si>
  <si>
    <t>Rate per hour</t>
  </si>
  <si>
    <t xml:space="preserve">Testing &amp; Test Case Documentation </t>
  </si>
  <si>
    <t>UAT support</t>
  </si>
  <si>
    <t>System Administrator (Hrs)</t>
  </si>
  <si>
    <t>Deliverable</t>
  </si>
  <si>
    <t>Configuration/ Blueprint document update</t>
  </si>
  <si>
    <t>Spec walkthrough with Tech Team</t>
  </si>
  <si>
    <t>(Non-Billable)</t>
  </si>
  <si>
    <t>Spec walkthrough with Customer</t>
  </si>
  <si>
    <t>Conceptual Solution design</t>
  </si>
  <si>
    <t>Data conversion/ Cutover</t>
  </si>
  <si>
    <t>Time spent to design, present and discuss the solution with the customer</t>
  </si>
  <si>
    <t>This is to walk the technical team through the spec and requirement once design is confirmed</t>
  </si>
  <si>
    <t>Please consider the number of non-PRD environments</t>
  </si>
  <si>
    <t>Are there any Bulk data uploads that need to be done</t>
  </si>
  <si>
    <t xml:space="preserve">Use 'Test Scenario' Tab to list down what will be covered at a high level </t>
  </si>
  <si>
    <t>Upon request from the customer</t>
  </si>
  <si>
    <t>If required only</t>
  </si>
  <si>
    <t>Change request forms. If internal CAB then Non-Billable</t>
  </si>
  <si>
    <t>Verification after deployment if it is working as expected. If this can only be done by the user this will not be billable</t>
  </si>
  <si>
    <t>Total CR cost</t>
  </si>
  <si>
    <t>Comments</t>
  </si>
  <si>
    <t>Scenarios to be tested/considered</t>
  </si>
  <si>
    <t>Task/Phase</t>
  </si>
  <si>
    <t>Internal</t>
  </si>
  <si>
    <t>Internal Document not to be shared with the customer</t>
  </si>
  <si>
    <t>Total Task Estimate</t>
  </si>
  <si>
    <t>Version</t>
  </si>
  <si>
    <t>Release date</t>
  </si>
  <si>
    <t>Reviewed By</t>
  </si>
  <si>
    <t>Person Hours</t>
  </si>
  <si>
    <t>Customer:</t>
  </si>
  <si>
    <t>Ticket Reference/Modification Name:</t>
  </si>
  <si>
    <t>Guideline</t>
  </si>
  <si>
    <t>Note: Task breakdown can be elaborated further based on the CR you are estimating  the template is a guideline of things to consider when preparing an estimate</t>
  </si>
  <si>
    <t>Responsible</t>
  </si>
  <si>
    <t>FC</t>
  </si>
  <si>
    <t>FC/SA</t>
  </si>
  <si>
    <t>Technical Estimate</t>
  </si>
  <si>
    <t>Requirement Gathering and Design Discussion</t>
  </si>
  <si>
    <t>TC</t>
  </si>
  <si>
    <t>Development task Break down</t>
  </si>
  <si>
    <t>Task 1</t>
  </si>
  <si>
    <t>Task 2</t>
  </si>
  <si>
    <t>Testing</t>
  </si>
  <si>
    <t>Documents</t>
  </si>
  <si>
    <t>Release notes</t>
  </si>
  <si>
    <t>DES020</t>
  </si>
  <si>
    <t>Deployment</t>
  </si>
  <si>
    <t>Not Applicable</t>
  </si>
  <si>
    <t>Functional Estimate prepared by</t>
  </si>
  <si>
    <t>Technical Estimate prepared by</t>
  </si>
  <si>
    <t>Functional Review</t>
  </si>
  <si>
    <t>Technical Review</t>
  </si>
  <si>
    <t>Enter consultant name</t>
  </si>
  <si>
    <t>Functional/System Admin Estimate Summary</t>
  </si>
  <si>
    <t>Total Billable Effort</t>
  </si>
  <si>
    <t>Billable Amount per Resource</t>
  </si>
  <si>
    <t>Assumptions Functional</t>
  </si>
  <si>
    <t>Assumptions Technical</t>
  </si>
  <si>
    <t>Assumptions System Administrator</t>
  </si>
  <si>
    <t>System Administrator Review</t>
  </si>
  <si>
    <t>System Administrator Estimate prepared by</t>
  </si>
  <si>
    <t xml:space="preserve">This is optional if the customer requests for a walk through </t>
  </si>
  <si>
    <t>Total Billable Estimate</t>
  </si>
  <si>
    <t>Business Requirement Specification for M3 Add-on</t>
  </si>
  <si>
    <t>Functional Specification</t>
  </si>
  <si>
    <t>Test Case Document</t>
  </si>
  <si>
    <t>Quick Reference Guide</t>
  </si>
  <si>
    <t>Version Number</t>
  </si>
  <si>
    <t>Update</t>
  </si>
  <si>
    <t>Initial Template</t>
  </si>
  <si>
    <t>Template version Tab renamed</t>
  </si>
  <si>
    <t>Project Management</t>
  </si>
  <si>
    <t>Project Management/ Service Management</t>
  </si>
  <si>
    <t>SM</t>
  </si>
  <si>
    <t>Quality Assurance</t>
  </si>
  <si>
    <t>QA test case preparation</t>
  </si>
  <si>
    <t>QA testing</t>
  </si>
  <si>
    <t>QA</t>
  </si>
  <si>
    <t>QA Test Plan/ Test case document</t>
  </si>
  <si>
    <t>Test Results</t>
  </si>
  <si>
    <t>Support Handover</t>
  </si>
  <si>
    <t>Hypercare</t>
  </si>
  <si>
    <t>Total Effort per Resource</t>
  </si>
  <si>
    <t>Solution Architect (Hrs)</t>
  </si>
  <si>
    <t>Technical (Hrs)</t>
  </si>
  <si>
    <t>Quality  Assurance (Hrs)</t>
  </si>
  <si>
    <t>Project Management (Hrs)</t>
  </si>
  <si>
    <t>Contingency buffer</t>
  </si>
  <si>
    <t>TCL</t>
  </si>
  <si>
    <t>FCL</t>
  </si>
  <si>
    <r>
      <t xml:space="preserve">Task Breakdown : Spec walkthrough with Tech Team under the 'Elaborate' section was made billable and the formula in the </t>
    </r>
    <r>
      <rPr>
        <b/>
        <sz val="11"/>
        <color theme="1"/>
        <rFont val="Calibri"/>
        <family val="2"/>
        <scheme val="minor"/>
      </rPr>
      <t>'Summary'</t>
    </r>
    <r>
      <rPr>
        <sz val="11"/>
        <color theme="1"/>
        <rFont val="Calibri"/>
        <family val="2"/>
        <scheme val="minor"/>
      </rPr>
      <t xml:space="preserve"> tab, the formula's for </t>
    </r>
    <r>
      <rPr>
        <b/>
        <sz val="11"/>
        <color theme="1"/>
        <rFont val="Calibri"/>
        <family val="2"/>
        <scheme val="minor"/>
      </rPr>
      <t>Total Task Estimate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Billable Estimate were revised.</t>
    </r>
  </si>
  <si>
    <t>Gold Coin</t>
  </si>
  <si>
    <t>Jaliya Hewage</t>
  </si>
  <si>
    <t>Mohammed Safwan</t>
  </si>
  <si>
    <t>Scope</t>
  </si>
  <si>
    <t>Out of Scope</t>
  </si>
  <si>
    <t>Deliverables</t>
  </si>
  <si>
    <t xml:space="preserve">Testcase document </t>
  </si>
  <si>
    <t xml:space="preserve">Updated Functional/Technical spec </t>
  </si>
  <si>
    <r>
      <rPr>
        <b/>
        <sz val="11"/>
        <color theme="1"/>
        <rFont val="Segoe UI"/>
        <family val="2"/>
      </rPr>
      <t>QMS Code:</t>
    </r>
    <r>
      <rPr>
        <sz val="11"/>
        <color theme="1"/>
        <rFont val="Segoe UI"/>
        <family val="2"/>
      </rPr>
      <t xml:space="preserve"> FTD_MS_EST 0475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</si>
</sst>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[$-409]d\-mmm\-yy;@"/>
    <numFmt numFmtId="166" formatCode="_(* #,##0.0_);_(* \(#,##0.0\);_(* &quot;-&quot;??_);_(@_)"/>
    <numFmt numFmtId="167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theme="1"/>
      <name val="Segoe UI"/>
      <family val="2"/>
    </font>
    <font>
      <b/>
      <i/>
      <sz val="12"/>
      <color rgb="FFFF0000"/>
      <name val="Segoe UI"/>
      <family val="2"/>
    </font>
    <font>
      <b/>
      <sz val="11"/>
      <color theme="1"/>
      <name val="Segoe UI"/>
      <family val="2"/>
    </font>
    <font>
      <b/>
      <sz val="11"/>
      <color rgb="FFEF7B22"/>
      <name val="Segoe UI"/>
      <family val="2"/>
    </font>
    <font>
      <i/>
      <sz val="11"/>
      <color theme="1"/>
      <name val="Segoe UI"/>
      <family val="2"/>
    </font>
    <font>
      <b/>
      <sz val="11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0"/>
      <name val="Segoe UI"/>
      <family val="2"/>
    </font>
    <font>
      <sz val="11"/>
      <color theme="0"/>
      <name val="Segoe UI"/>
      <family val="2"/>
    </font>
    <font>
      <sz val="20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F7B22"/>
        <bgColor indexed="64"/>
      </patternFill>
    </fill>
    <fill>
      <patternFill patternType="solid">
        <fgColor rgb="FF42BCC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2" xfId="0" applyFont="1" applyBorder="1"/>
    <xf numFmtId="0" fontId="7" fillId="0" borderId="3" xfId="0" applyFont="1" applyBorder="1"/>
    <xf numFmtId="0" fontId="6" fillId="0" borderId="6" xfId="0" applyFont="1" applyBorder="1"/>
    <xf numFmtId="0" fontId="7" fillId="0" borderId="7" xfId="0" applyFont="1" applyBorder="1"/>
    <xf numFmtId="0" fontId="3" fillId="0" borderId="6" xfId="0" applyFont="1" applyBorder="1"/>
    <xf numFmtId="0" fontId="3" fillId="0" borderId="7" xfId="0" applyFont="1" applyBorder="1"/>
    <xf numFmtId="0" fontId="6" fillId="0" borderId="0" xfId="0" applyFont="1"/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8" fillId="0" borderId="0" xfId="0" applyFont="1"/>
    <xf numFmtId="0" fontId="7" fillId="0" borderId="7" xfId="0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4" xfId="0" applyFont="1" applyBorder="1" applyAlignment="1">
      <alignment horizontal="left" indent="1"/>
    </xf>
    <xf numFmtId="165" fontId="7" fillId="0" borderId="7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9" fillId="0" borderId="0" xfId="0" applyFont="1"/>
    <xf numFmtId="43" fontId="3" fillId="0" borderId="7" xfId="1" applyFont="1" applyFill="1" applyBorder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vertic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righ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 indent="2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6" fillId="0" borderId="8" xfId="0" applyFont="1" applyBorder="1"/>
    <xf numFmtId="0" fontId="3" fillId="0" borderId="9" xfId="0" applyFont="1" applyBorder="1" applyAlignment="1">
      <alignment horizontal="center"/>
    </xf>
    <xf numFmtId="43" fontId="3" fillId="0" borderId="7" xfId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166" fontId="0" fillId="0" borderId="0" xfId="1" applyNumberFormat="1" applyFont="1"/>
    <xf numFmtId="0" fontId="12" fillId="4" borderId="0" xfId="0" applyFont="1" applyFill="1" applyAlignment="1">
      <alignment horizontal="center" vertical="center" textRotation="180" wrapText="1"/>
    </xf>
    <xf numFmtId="0" fontId="3" fillId="5" borderId="0" xfId="0" applyFont="1" applyFill="1" applyAlignment="1">
      <alignment horizontal="right" wrapText="1"/>
    </xf>
    <xf numFmtId="0" fontId="7" fillId="0" borderId="0" xfId="0" applyFont="1" applyAlignment="1">
      <alignment horizontal="left" indent="2"/>
    </xf>
    <xf numFmtId="167" fontId="3" fillId="0" borderId="0" xfId="0" applyNumberFormat="1" applyFont="1"/>
    <xf numFmtId="4" fontId="3" fillId="0" borderId="0" xfId="0" applyNumberFormat="1" applyFont="1"/>
    <xf numFmtId="0" fontId="14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2" fillId="4" borderId="0" xfId="0" applyFont="1" applyFill="1" applyAlignment="1">
      <alignment horizontal="center" vertical="center" textRotation="180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F7B22"/>
      <color rgb="FF42BC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606912</xdr:colOff>
      <xdr:row>1</xdr:row>
      <xdr:rowOff>10583</xdr:rowOff>
    </xdr:from>
    <xdr:to>
      <xdr:col>14</xdr:col>
      <xdr:colOff>190711</xdr:colOff>
      <xdr:row>2</xdr:row>
      <xdr:rowOff>82549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27E1CD-1CFA-46B2-B737-AD405C041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3037" y="272521"/>
          <a:ext cx="2012674" cy="286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2"/>
  <sheetViews>
    <sheetView showGridLines="0" topLeftCell="A12" workbookViewId="0">
      <selection activeCell="H8" sqref="H8"/>
    </sheetView>
  </sheetViews>
  <sheetFormatPr defaultRowHeight="14.4" x14ac:dyDescent="0.3"/>
  <cols>
    <col min="8" max="8" width="44.6640625" customWidth="1"/>
  </cols>
  <sheetData>
    <row r="12" spans="8:8" ht="91.8" x14ac:dyDescent="1.65">
      <c r="H12" s="1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tabSelected="1" zoomScale="80" zoomScaleNormal="80" workbookViewId="0">
      <selection activeCell="A5" sqref="A5"/>
    </sheetView>
  </sheetViews>
  <sheetFormatPr defaultColWidth="9.109375" defaultRowHeight="16.8" x14ac:dyDescent="0.4"/>
  <cols>
    <col min="1" max="1" width="57.109375" style="2" bestFit="1" customWidth="1"/>
    <col min="2" max="2" width="33.5546875" style="2" bestFit="1" customWidth="1"/>
    <col min="3" max="16384" width="9.109375" style="2"/>
  </cols>
  <sheetData>
    <row r="1" spans="1:5" ht="20.399999999999999" x14ac:dyDescent="0.45">
      <c r="A1" s="19" t="s">
        <v>72</v>
      </c>
    </row>
    <row r="2" spans="1:5" ht="19.2" x14ac:dyDescent="0.45">
      <c r="A2" s="3" t="s">
        <v>42</v>
      </c>
    </row>
    <row r="3" spans="1:5" x14ac:dyDescent="0.4">
      <c r="A3" s="13" t="s">
        <v>51</v>
      </c>
    </row>
    <row r="4" spans="1:5" ht="17.399999999999999" thickBot="1" x14ac:dyDescent="0.45">
      <c r="A4" s="2" t="s">
        <v>118</v>
      </c>
    </row>
    <row r="5" spans="1:5" x14ac:dyDescent="0.4">
      <c r="A5" s="4" t="s">
        <v>48</v>
      </c>
      <c r="B5" s="5" t="s">
        <v>110</v>
      </c>
    </row>
    <row r="6" spans="1:5" x14ac:dyDescent="0.4">
      <c r="A6" s="6" t="s">
        <v>49</v>
      </c>
      <c r="B6" s="7"/>
    </row>
    <row r="7" spans="1:5" x14ac:dyDescent="0.4">
      <c r="A7" s="8"/>
      <c r="B7" s="9"/>
    </row>
    <row r="8" spans="1:5" ht="17.399999999999999" thickBot="1" x14ac:dyDescent="0.45">
      <c r="A8" s="8"/>
      <c r="B8" s="9"/>
    </row>
    <row r="9" spans="1:5" ht="17.399999999999999" thickBot="1" x14ac:dyDescent="0.45">
      <c r="A9" s="42" t="s">
        <v>15</v>
      </c>
      <c r="B9" s="43" t="s">
        <v>47</v>
      </c>
    </row>
    <row r="10" spans="1:5" x14ac:dyDescent="0.4">
      <c r="A10" s="8" t="s">
        <v>43</v>
      </c>
      <c r="B10" s="20">
        <f>SUM('Task Breakdown'!D43:J43)</f>
        <v>16</v>
      </c>
    </row>
    <row r="11" spans="1:5" x14ac:dyDescent="0.4">
      <c r="A11" s="8" t="s">
        <v>81</v>
      </c>
      <c r="B11" s="44">
        <f>SUM('Task Breakdown'!D44:J44)</f>
        <v>16</v>
      </c>
    </row>
    <row r="12" spans="1:5" ht="17.399999999999999" thickBot="1" x14ac:dyDescent="0.45">
      <c r="A12" s="8"/>
      <c r="B12" s="9"/>
    </row>
    <row r="13" spans="1:5" ht="17.399999999999999" thickBot="1" x14ac:dyDescent="0.45">
      <c r="A13" s="57" t="s">
        <v>16</v>
      </c>
      <c r="B13" s="58"/>
      <c r="C13" s="10"/>
      <c r="D13" s="10"/>
      <c r="E13" s="10"/>
    </row>
    <row r="14" spans="1:5" x14ac:dyDescent="0.4">
      <c r="A14" s="8" t="s">
        <v>44</v>
      </c>
      <c r="B14" s="11">
        <v>1.2</v>
      </c>
    </row>
    <row r="15" spans="1:5" x14ac:dyDescent="0.4">
      <c r="A15" s="8" t="s">
        <v>45</v>
      </c>
      <c r="B15" s="12"/>
    </row>
    <row r="16" spans="1:5" x14ac:dyDescent="0.4">
      <c r="A16" s="8" t="s">
        <v>67</v>
      </c>
      <c r="B16" s="17" t="s">
        <v>111</v>
      </c>
    </row>
    <row r="17" spans="1:6" x14ac:dyDescent="0.4">
      <c r="A17" s="8" t="s">
        <v>68</v>
      </c>
      <c r="B17" s="17" t="s">
        <v>71</v>
      </c>
    </row>
    <row r="18" spans="1:6" x14ac:dyDescent="0.4">
      <c r="A18" s="2" t="s">
        <v>79</v>
      </c>
      <c r="B18" s="17" t="s">
        <v>71</v>
      </c>
    </row>
    <row r="19" spans="1:6" x14ac:dyDescent="0.4">
      <c r="A19" s="8" t="s">
        <v>46</v>
      </c>
      <c r="B19" s="14"/>
    </row>
    <row r="20" spans="1:6" x14ac:dyDescent="0.4">
      <c r="A20" s="15" t="s">
        <v>69</v>
      </c>
      <c r="B20" s="17" t="s">
        <v>112</v>
      </c>
    </row>
    <row r="21" spans="1:6" x14ac:dyDescent="0.4">
      <c r="A21" s="15" t="s">
        <v>70</v>
      </c>
      <c r="B21" s="17" t="s">
        <v>71</v>
      </c>
    </row>
    <row r="22" spans="1:6" ht="17.399999999999999" thickBot="1" x14ac:dyDescent="0.45">
      <c r="A22" s="16" t="s">
        <v>78</v>
      </c>
      <c r="B22" s="18" t="s">
        <v>71</v>
      </c>
    </row>
    <row r="24" spans="1:6" x14ac:dyDescent="0.4">
      <c r="F24" s="55"/>
    </row>
  </sheetData>
  <mergeCells count="1">
    <mergeCell ref="A13:B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="90" zoomScaleNormal="90" workbookViewId="0">
      <pane ySplit="1" topLeftCell="A2" activePane="bottomLeft" state="frozen"/>
      <selection pane="bottomLeft" activeCell="C50" sqref="C50:E50"/>
    </sheetView>
  </sheetViews>
  <sheetFormatPr defaultColWidth="9.109375" defaultRowHeight="16.8" x14ac:dyDescent="0.4"/>
  <cols>
    <col min="1" max="1" width="51.6640625" style="2" customWidth="1"/>
    <col min="2" max="2" width="14.88671875" style="41" customWidth="1"/>
    <col min="3" max="3" width="24.5546875" style="2" customWidth="1"/>
    <col min="4" max="4" width="20" style="29" customWidth="1"/>
    <col min="5" max="6" width="21.109375" style="29" customWidth="1"/>
    <col min="7" max="8" width="17.6640625" style="29" customWidth="1"/>
    <col min="9" max="9" width="19.88671875" style="29" customWidth="1"/>
    <col min="10" max="10" width="17.6640625" style="29" customWidth="1"/>
    <col min="11" max="11" width="13.6640625" style="2" bestFit="1" customWidth="1"/>
    <col min="12" max="12" width="12.6640625" style="2" bestFit="1" customWidth="1"/>
    <col min="13" max="16384" width="9.109375" style="2"/>
  </cols>
  <sheetData>
    <row r="1" spans="1:13" s="24" customFormat="1" ht="57.6" x14ac:dyDescent="0.3">
      <c r="A1" s="21" t="s">
        <v>40</v>
      </c>
      <c r="B1" s="22" t="s">
        <v>52</v>
      </c>
      <c r="C1" s="21" t="s">
        <v>21</v>
      </c>
      <c r="D1" s="23" t="s">
        <v>13</v>
      </c>
      <c r="E1" s="23" t="s">
        <v>14</v>
      </c>
      <c r="F1" s="23" t="s">
        <v>102</v>
      </c>
      <c r="G1" s="23" t="s">
        <v>20</v>
      </c>
      <c r="H1" s="23" t="s">
        <v>103</v>
      </c>
      <c r="I1" s="23" t="s">
        <v>104</v>
      </c>
      <c r="J1" s="23" t="s">
        <v>105</v>
      </c>
      <c r="K1" s="21"/>
      <c r="L1" s="21" t="s">
        <v>38</v>
      </c>
      <c r="M1" s="21" t="s">
        <v>50</v>
      </c>
    </row>
    <row r="2" spans="1:13" s="25" customFormat="1" x14ac:dyDescent="0.4">
      <c r="A2" s="25" t="s">
        <v>0</v>
      </c>
      <c r="B2" s="26"/>
      <c r="D2" s="27"/>
      <c r="E2" s="27"/>
      <c r="F2" s="27"/>
      <c r="G2" s="27"/>
      <c r="H2" s="59" t="s">
        <v>66</v>
      </c>
      <c r="I2" s="51"/>
      <c r="J2" s="51"/>
    </row>
    <row r="3" spans="1:13" x14ac:dyDescent="0.4">
      <c r="A3" s="15" t="s">
        <v>5</v>
      </c>
      <c r="B3" s="28" t="s">
        <v>53</v>
      </c>
      <c r="C3" s="15"/>
      <c r="D3" s="29">
        <v>2</v>
      </c>
      <c r="H3" s="59"/>
      <c r="I3" s="51"/>
      <c r="J3" s="51"/>
      <c r="K3" s="2" t="s">
        <v>10</v>
      </c>
    </row>
    <row r="4" spans="1:13" s="48" customFormat="1" ht="50.4" x14ac:dyDescent="0.3">
      <c r="A4" s="49" t="s">
        <v>6</v>
      </c>
      <c r="B4" s="45" t="s">
        <v>53</v>
      </c>
      <c r="C4" s="46" t="s">
        <v>82</v>
      </c>
      <c r="D4" s="47">
        <v>4</v>
      </c>
      <c r="E4" s="47"/>
      <c r="F4" s="47"/>
      <c r="G4" s="47"/>
      <c r="H4" s="59"/>
      <c r="I4" s="51"/>
      <c r="J4" s="51"/>
      <c r="K4" s="48" t="s">
        <v>10</v>
      </c>
    </row>
    <row r="5" spans="1:13" s="25" customFormat="1" x14ac:dyDescent="0.4">
      <c r="A5" s="25" t="s">
        <v>1</v>
      </c>
      <c r="B5" s="30"/>
      <c r="C5" s="31"/>
      <c r="D5" s="27"/>
      <c r="E5" s="27"/>
      <c r="F5" s="27"/>
      <c r="G5" s="27"/>
      <c r="H5" s="59"/>
      <c r="I5" s="51"/>
      <c r="J5" s="51"/>
    </row>
    <row r="6" spans="1:13" x14ac:dyDescent="0.4">
      <c r="A6" s="15" t="s">
        <v>26</v>
      </c>
      <c r="B6" s="28" t="s">
        <v>53</v>
      </c>
      <c r="C6" s="32"/>
      <c r="D6" s="29">
        <v>3</v>
      </c>
      <c r="H6" s="59"/>
      <c r="I6" s="51"/>
      <c r="J6" s="51"/>
      <c r="K6" s="2" t="s">
        <v>10</v>
      </c>
      <c r="M6" s="33" t="s">
        <v>28</v>
      </c>
    </row>
    <row r="7" spans="1:13" x14ac:dyDescent="0.4">
      <c r="A7" s="15" t="s">
        <v>2</v>
      </c>
      <c r="B7" s="28" t="s">
        <v>53</v>
      </c>
      <c r="C7" s="2" t="s">
        <v>83</v>
      </c>
      <c r="H7" s="59"/>
      <c r="I7" s="51"/>
      <c r="J7" s="51"/>
      <c r="K7" s="2" t="s">
        <v>10</v>
      </c>
    </row>
    <row r="8" spans="1:13" x14ac:dyDescent="0.4">
      <c r="A8" s="34" t="s">
        <v>25</v>
      </c>
      <c r="B8" s="28" t="s">
        <v>53</v>
      </c>
      <c r="C8" s="15"/>
      <c r="H8" s="59"/>
      <c r="I8" s="51"/>
      <c r="J8" s="51"/>
      <c r="K8" s="2" t="s">
        <v>10</v>
      </c>
      <c r="M8" s="33" t="s">
        <v>80</v>
      </c>
    </row>
    <row r="9" spans="1:13" x14ac:dyDescent="0.4">
      <c r="A9" s="15" t="s">
        <v>23</v>
      </c>
      <c r="B9" s="28" t="s">
        <v>53</v>
      </c>
      <c r="C9" s="15"/>
      <c r="D9" s="29">
        <v>1</v>
      </c>
      <c r="H9" s="59"/>
      <c r="I9" s="51"/>
      <c r="J9" s="51"/>
      <c r="K9" s="2" t="s">
        <v>10</v>
      </c>
      <c r="M9" s="33" t="s">
        <v>29</v>
      </c>
    </row>
    <row r="10" spans="1:13" x14ac:dyDescent="0.4">
      <c r="A10" s="15" t="s">
        <v>7</v>
      </c>
      <c r="B10" s="28" t="s">
        <v>54</v>
      </c>
      <c r="C10" s="32"/>
      <c r="H10" s="59"/>
      <c r="I10" s="51"/>
      <c r="J10" s="51"/>
      <c r="K10" s="2" t="s">
        <v>10</v>
      </c>
      <c r="M10" s="33" t="s">
        <v>30</v>
      </c>
    </row>
    <row r="11" spans="1:13" x14ac:dyDescent="0.4">
      <c r="A11" s="34" t="s">
        <v>27</v>
      </c>
      <c r="B11" s="28" t="s">
        <v>53</v>
      </c>
      <c r="C11" s="32"/>
      <c r="H11" s="59"/>
      <c r="I11" s="51"/>
      <c r="J11" s="51"/>
      <c r="K11" s="2" t="s">
        <v>10</v>
      </c>
      <c r="M11" s="33" t="s">
        <v>31</v>
      </c>
    </row>
    <row r="12" spans="1:13" x14ac:dyDescent="0.4">
      <c r="A12" s="15" t="s">
        <v>18</v>
      </c>
      <c r="B12" s="28" t="s">
        <v>53</v>
      </c>
      <c r="C12" s="32" t="s">
        <v>84</v>
      </c>
      <c r="D12" s="29">
        <v>4</v>
      </c>
      <c r="H12" s="59"/>
      <c r="I12" s="51"/>
      <c r="J12" s="51"/>
      <c r="K12" s="2" t="s">
        <v>10</v>
      </c>
      <c r="M12" s="33" t="s">
        <v>32</v>
      </c>
    </row>
    <row r="13" spans="1:13" x14ac:dyDescent="0.4">
      <c r="A13" s="15" t="s">
        <v>4</v>
      </c>
      <c r="B13" s="28" t="s">
        <v>53</v>
      </c>
      <c r="C13" s="32" t="s">
        <v>85</v>
      </c>
      <c r="H13" s="59"/>
      <c r="I13" s="51"/>
      <c r="J13" s="51"/>
      <c r="K13" s="2" t="s">
        <v>10</v>
      </c>
      <c r="M13" s="33" t="s">
        <v>33</v>
      </c>
    </row>
    <row r="14" spans="1:13" x14ac:dyDescent="0.4">
      <c r="A14" s="15" t="s">
        <v>3</v>
      </c>
      <c r="B14" s="28" t="s">
        <v>53</v>
      </c>
      <c r="C14" s="15"/>
      <c r="H14" s="59"/>
      <c r="I14" s="51"/>
      <c r="J14" s="51"/>
      <c r="K14" s="2" t="s">
        <v>10</v>
      </c>
      <c r="M14" s="33" t="s">
        <v>33</v>
      </c>
    </row>
    <row r="15" spans="1:13" x14ac:dyDescent="0.4">
      <c r="A15" s="15" t="s">
        <v>19</v>
      </c>
      <c r="B15" s="28" t="s">
        <v>53</v>
      </c>
      <c r="C15" s="15"/>
      <c r="H15" s="59"/>
      <c r="I15" s="51"/>
      <c r="J15" s="51"/>
      <c r="K15" s="2" t="s">
        <v>10</v>
      </c>
      <c r="M15" s="33" t="s">
        <v>33</v>
      </c>
    </row>
    <row r="16" spans="1:13" x14ac:dyDescent="0.4">
      <c r="A16" s="15" t="s">
        <v>106</v>
      </c>
      <c r="B16" s="28" t="s">
        <v>108</v>
      </c>
      <c r="C16" s="15"/>
      <c r="D16" s="29">
        <v>1</v>
      </c>
      <c r="H16" s="59"/>
      <c r="I16" s="51"/>
      <c r="J16" s="51"/>
      <c r="K16" s="2" t="s">
        <v>10</v>
      </c>
      <c r="M16" s="33"/>
    </row>
    <row r="17" spans="1:13" s="25" customFormat="1" x14ac:dyDescent="0.4">
      <c r="A17" s="25" t="s">
        <v>9</v>
      </c>
      <c r="B17" s="30"/>
      <c r="D17" s="27"/>
      <c r="E17" s="27"/>
      <c r="F17" s="27"/>
      <c r="G17" s="27"/>
      <c r="H17" s="59"/>
      <c r="I17" s="51"/>
      <c r="J17" s="51"/>
    </row>
    <row r="18" spans="1:13" x14ac:dyDescent="0.4">
      <c r="A18" s="15" t="s">
        <v>8</v>
      </c>
      <c r="B18" s="28" t="s">
        <v>54</v>
      </c>
      <c r="C18" s="15"/>
      <c r="H18" s="59"/>
      <c r="I18" s="51"/>
      <c r="J18" s="51"/>
      <c r="K18" s="2" t="s">
        <v>10</v>
      </c>
    </row>
    <row r="19" spans="1:13" x14ac:dyDescent="0.4">
      <c r="A19" s="34" t="s">
        <v>27</v>
      </c>
      <c r="B19" s="28" t="s">
        <v>54</v>
      </c>
      <c r="C19" s="15"/>
      <c r="H19" s="59"/>
      <c r="I19" s="51"/>
      <c r="J19" s="51"/>
      <c r="K19" s="2" t="s">
        <v>10</v>
      </c>
      <c r="M19" s="33" t="s">
        <v>31</v>
      </c>
    </row>
    <row r="20" spans="1:13" x14ac:dyDescent="0.4">
      <c r="A20" s="15" t="s">
        <v>22</v>
      </c>
      <c r="B20" s="28" t="s">
        <v>53</v>
      </c>
      <c r="C20" s="15"/>
      <c r="H20" s="59"/>
      <c r="I20" s="51"/>
      <c r="J20" s="51"/>
      <c r="K20" s="2" t="s">
        <v>10</v>
      </c>
      <c r="M20" s="33" t="s">
        <v>34</v>
      </c>
    </row>
    <row r="21" spans="1:13" x14ac:dyDescent="0.4">
      <c r="A21" s="15" t="s">
        <v>12</v>
      </c>
      <c r="B21" s="28" t="s">
        <v>53</v>
      </c>
      <c r="C21" s="15"/>
      <c r="H21" s="59"/>
      <c r="I21" s="51"/>
      <c r="J21" s="51"/>
      <c r="K21" s="2" t="s">
        <v>10</v>
      </c>
      <c r="M21" s="33" t="s">
        <v>35</v>
      </c>
    </row>
    <row r="22" spans="1:13" x14ac:dyDescent="0.4">
      <c r="A22" s="34" t="s">
        <v>11</v>
      </c>
      <c r="B22" s="28" t="s">
        <v>53</v>
      </c>
      <c r="C22" s="15"/>
      <c r="D22" s="29">
        <v>1</v>
      </c>
      <c r="H22" s="59"/>
      <c r="I22" s="51"/>
      <c r="J22" s="51"/>
      <c r="K22" s="2" t="s">
        <v>10</v>
      </c>
      <c r="M22" s="33" t="s">
        <v>36</v>
      </c>
    </row>
    <row r="23" spans="1:13" x14ac:dyDescent="0.4">
      <c r="A23" s="15" t="s">
        <v>99</v>
      </c>
      <c r="B23" s="28" t="s">
        <v>53</v>
      </c>
      <c r="C23" s="15"/>
      <c r="H23" s="51"/>
      <c r="I23" s="51"/>
      <c r="J23" s="51"/>
      <c r="K23" s="2" t="s">
        <v>10</v>
      </c>
      <c r="M23" s="33"/>
    </row>
    <row r="24" spans="1:13" x14ac:dyDescent="0.4">
      <c r="A24" s="15" t="s">
        <v>100</v>
      </c>
      <c r="B24" s="28" t="s">
        <v>53</v>
      </c>
      <c r="C24" s="15"/>
      <c r="H24" s="51"/>
      <c r="I24" s="51"/>
      <c r="J24" s="51"/>
      <c r="K24" s="2" t="s">
        <v>10</v>
      </c>
      <c r="M24" s="33"/>
    </row>
    <row r="25" spans="1:13" s="25" customFormat="1" x14ac:dyDescent="0.4">
      <c r="A25" s="25" t="s">
        <v>55</v>
      </c>
      <c r="B25" s="26"/>
      <c r="D25" s="27"/>
      <c r="E25" s="27"/>
      <c r="F25" s="27"/>
      <c r="G25" s="27"/>
      <c r="H25" s="27"/>
      <c r="I25" s="51"/>
      <c r="J25" s="51"/>
    </row>
    <row r="26" spans="1:13" x14ac:dyDescent="0.4">
      <c r="A26" s="15" t="s">
        <v>56</v>
      </c>
      <c r="B26" s="28" t="s">
        <v>57</v>
      </c>
      <c r="C26" s="15"/>
      <c r="G26" s="52"/>
      <c r="I26" s="51"/>
      <c r="J26" s="51"/>
      <c r="K26" s="2" t="s">
        <v>24</v>
      </c>
      <c r="M26" s="33"/>
    </row>
    <row r="27" spans="1:13" x14ac:dyDescent="0.4">
      <c r="A27" s="15" t="s">
        <v>58</v>
      </c>
      <c r="B27" s="28" t="s">
        <v>57</v>
      </c>
      <c r="C27" s="15"/>
      <c r="G27" s="52"/>
      <c r="I27" s="51"/>
      <c r="J27" s="51"/>
      <c r="K27" s="2" t="s">
        <v>10</v>
      </c>
      <c r="M27" s="33"/>
    </row>
    <row r="28" spans="1:13" x14ac:dyDescent="0.4">
      <c r="A28" s="53" t="s">
        <v>59</v>
      </c>
      <c r="B28" s="28" t="s">
        <v>57</v>
      </c>
      <c r="C28" s="15"/>
      <c r="G28" s="52"/>
      <c r="I28" s="51"/>
      <c r="J28" s="51"/>
      <c r="K28" s="2" t="s">
        <v>10</v>
      </c>
      <c r="M28" s="33"/>
    </row>
    <row r="29" spans="1:13" x14ac:dyDescent="0.4">
      <c r="A29" s="53" t="s">
        <v>60</v>
      </c>
      <c r="B29" s="28" t="s">
        <v>57</v>
      </c>
      <c r="C29" s="15"/>
      <c r="G29" s="52"/>
      <c r="I29" s="51"/>
      <c r="J29" s="51"/>
      <c r="K29" s="2" t="s">
        <v>10</v>
      </c>
      <c r="M29" s="33"/>
    </row>
    <row r="30" spans="1:13" x14ac:dyDescent="0.4">
      <c r="A30" s="15" t="s">
        <v>61</v>
      </c>
      <c r="B30" s="28" t="s">
        <v>57</v>
      </c>
      <c r="C30" s="15"/>
      <c r="G30" s="52"/>
      <c r="I30" s="51"/>
      <c r="J30" s="51"/>
      <c r="K30" s="2" t="s">
        <v>10</v>
      </c>
      <c r="M30" s="33"/>
    </row>
    <row r="31" spans="1:13" x14ac:dyDescent="0.4">
      <c r="A31" s="15" t="s">
        <v>62</v>
      </c>
      <c r="B31" s="28" t="s">
        <v>57</v>
      </c>
      <c r="C31" s="15"/>
      <c r="G31" s="52"/>
      <c r="I31" s="51"/>
      <c r="J31" s="51"/>
      <c r="K31" s="2" t="s">
        <v>10</v>
      </c>
      <c r="M31" s="33"/>
    </row>
    <row r="32" spans="1:13" x14ac:dyDescent="0.4">
      <c r="A32" s="34" t="s">
        <v>63</v>
      </c>
      <c r="B32" s="28" t="s">
        <v>57</v>
      </c>
      <c r="C32" s="15"/>
      <c r="G32" s="52"/>
      <c r="I32" s="51"/>
      <c r="J32" s="51"/>
      <c r="K32" s="2" t="s">
        <v>10</v>
      </c>
      <c r="M32" s="33"/>
    </row>
    <row r="33" spans="1:13" x14ac:dyDescent="0.4">
      <c r="A33" s="34" t="s">
        <v>64</v>
      </c>
      <c r="B33" s="28" t="s">
        <v>57</v>
      </c>
      <c r="C33" s="15"/>
      <c r="G33" s="52"/>
      <c r="I33" s="51"/>
      <c r="J33" s="51"/>
      <c r="K33" s="2" t="s">
        <v>10</v>
      </c>
      <c r="M33" s="33"/>
    </row>
    <row r="34" spans="1:13" ht="15" customHeight="1" x14ac:dyDescent="0.4">
      <c r="A34" s="15" t="s">
        <v>65</v>
      </c>
      <c r="B34" s="28" t="s">
        <v>57</v>
      </c>
      <c r="C34" s="15"/>
      <c r="G34" s="52"/>
      <c r="I34" s="51"/>
      <c r="J34" s="51"/>
      <c r="K34" s="2" t="s">
        <v>10</v>
      </c>
      <c r="M34" s="33"/>
    </row>
    <row r="35" spans="1:13" ht="15" customHeight="1" x14ac:dyDescent="0.4">
      <c r="A35" s="15" t="s">
        <v>100</v>
      </c>
      <c r="B35" s="28" t="s">
        <v>57</v>
      </c>
      <c r="C35" s="15"/>
      <c r="G35" s="52"/>
      <c r="I35" s="51"/>
      <c r="J35" s="51"/>
      <c r="K35" s="2" t="s">
        <v>10</v>
      </c>
      <c r="M35" s="33"/>
    </row>
    <row r="36" spans="1:13" ht="15" customHeight="1" x14ac:dyDescent="0.4">
      <c r="A36" s="15" t="s">
        <v>106</v>
      </c>
      <c r="B36" s="28" t="s">
        <v>107</v>
      </c>
      <c r="C36" s="15"/>
      <c r="G36" s="52"/>
      <c r="I36" s="51"/>
      <c r="J36" s="51"/>
      <c r="K36" s="2" t="s">
        <v>10</v>
      </c>
      <c r="M36" s="33"/>
    </row>
    <row r="37" spans="1:13" s="25" customFormat="1" x14ac:dyDescent="0.4">
      <c r="A37" s="25" t="s">
        <v>93</v>
      </c>
      <c r="B37" s="26"/>
      <c r="D37" s="27"/>
      <c r="E37" s="27"/>
      <c r="F37" s="27"/>
      <c r="G37" s="52"/>
      <c r="H37" s="27"/>
      <c r="I37" s="51"/>
      <c r="J37" s="51"/>
    </row>
    <row r="38" spans="1:13" ht="15" customHeight="1" x14ac:dyDescent="0.4">
      <c r="A38" s="34" t="s">
        <v>94</v>
      </c>
      <c r="B38" s="28" t="s">
        <v>96</v>
      </c>
      <c r="C38" s="15" t="s">
        <v>97</v>
      </c>
      <c r="G38" s="52"/>
      <c r="H38" s="52"/>
      <c r="J38" s="51"/>
      <c r="K38" s="2" t="s">
        <v>10</v>
      </c>
      <c r="M38" s="33"/>
    </row>
    <row r="39" spans="1:13" ht="15" customHeight="1" x14ac:dyDescent="0.4">
      <c r="A39" s="34" t="s">
        <v>95</v>
      </c>
      <c r="B39" s="28" t="s">
        <v>96</v>
      </c>
      <c r="C39" s="15" t="s">
        <v>98</v>
      </c>
      <c r="G39" s="52"/>
      <c r="H39" s="52"/>
      <c r="J39" s="51"/>
      <c r="K39" s="2" t="s">
        <v>10</v>
      </c>
      <c r="M39" s="33"/>
    </row>
    <row r="40" spans="1:13" s="25" customFormat="1" x14ac:dyDescent="0.4">
      <c r="A40" s="25" t="s">
        <v>90</v>
      </c>
      <c r="B40" s="26"/>
      <c r="D40" s="27"/>
      <c r="E40" s="27"/>
      <c r="F40" s="27"/>
      <c r="G40" s="27"/>
      <c r="H40" s="27"/>
      <c r="I40" s="27"/>
      <c r="J40" s="51"/>
    </row>
    <row r="41" spans="1:13" ht="15" customHeight="1" x14ac:dyDescent="0.4">
      <c r="A41" s="15" t="s">
        <v>91</v>
      </c>
      <c r="B41" s="28" t="s">
        <v>92</v>
      </c>
      <c r="C41" s="15"/>
      <c r="D41" s="52"/>
      <c r="E41" s="52"/>
      <c r="F41" s="52"/>
      <c r="G41" s="52"/>
      <c r="H41" s="52"/>
      <c r="I41" s="51"/>
      <c r="K41" s="2" t="s">
        <v>10</v>
      </c>
      <c r="M41" s="33"/>
    </row>
    <row r="42" spans="1:13" ht="15" customHeight="1" x14ac:dyDescent="0.4">
      <c r="A42" s="15" t="s">
        <v>106</v>
      </c>
      <c r="B42" s="28" t="s">
        <v>92</v>
      </c>
      <c r="C42" s="15"/>
      <c r="D42" s="52"/>
      <c r="E42" s="52"/>
      <c r="F42" s="52"/>
      <c r="G42" s="52"/>
      <c r="H42" s="52"/>
      <c r="I42" s="51"/>
      <c r="K42" s="2" t="s">
        <v>10</v>
      </c>
      <c r="M42" s="33"/>
    </row>
    <row r="43" spans="1:13" s="38" customFormat="1" x14ac:dyDescent="0.4">
      <c r="A43" s="35" t="s">
        <v>101</v>
      </c>
      <c r="B43" s="36"/>
      <c r="C43" s="35"/>
      <c r="D43" s="37">
        <f>SUM(D3:D42)</f>
        <v>16</v>
      </c>
      <c r="E43" s="37">
        <f>SUM(E3:E42)</f>
        <v>0</v>
      </c>
      <c r="F43" s="37">
        <f t="shared" ref="F43:J43" si="0">SUM(F3:F42)</f>
        <v>0</v>
      </c>
      <c r="G43" s="37">
        <f t="shared" si="0"/>
        <v>0</v>
      </c>
      <c r="H43" s="37">
        <f t="shared" si="0"/>
        <v>0</v>
      </c>
      <c r="I43" s="37">
        <f t="shared" si="0"/>
        <v>0</v>
      </c>
      <c r="J43" s="37">
        <f t="shared" si="0"/>
        <v>0</v>
      </c>
    </row>
    <row r="44" spans="1:13" s="38" customFormat="1" x14ac:dyDescent="0.4">
      <c r="A44" s="35" t="s">
        <v>73</v>
      </c>
      <c r="B44" s="36"/>
      <c r="C44" s="35"/>
      <c r="D44" s="37">
        <f>SUMIF($K$3:$K$42,"(Billable)",$D$3:$D$42)</f>
        <v>16</v>
      </c>
      <c r="E44" s="37">
        <f>SUMIF($K$3:$K$42,"(Billable)",$E$3:$E$42)</f>
        <v>0</v>
      </c>
      <c r="F44" s="37">
        <f>SUMIF($K$3:$K$42,"(Billable)",$F$3:$F$42)</f>
        <v>0</v>
      </c>
      <c r="G44" s="37">
        <f>SUMIF($K$3:$K$42,"(Billable)",$G$3:$G$42)</f>
        <v>0</v>
      </c>
      <c r="H44" s="37">
        <f>SUMIF($K$3:$K$42,"(Billable)",$H$3:$H$42)</f>
        <v>0</v>
      </c>
      <c r="I44" s="37">
        <f>SUMIF($K$3:$K$42,"(Billable)",$I$3:$I$42)</f>
        <v>0</v>
      </c>
      <c r="J44" s="37">
        <f>SUMIF($K$3:$K$42,"(Billable)",$J$3:$J$42)</f>
        <v>0</v>
      </c>
    </row>
    <row r="45" spans="1:13" s="38" customFormat="1" x14ac:dyDescent="0.4">
      <c r="A45" s="38" t="s">
        <v>17</v>
      </c>
      <c r="B45" s="39"/>
      <c r="C45" s="35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</row>
    <row r="46" spans="1:13" s="38" customFormat="1" x14ac:dyDescent="0.4">
      <c r="A46" s="38" t="s">
        <v>74</v>
      </c>
      <c r="B46" s="39"/>
      <c r="D46" s="37">
        <f t="shared" ref="D46:J46" si="1">D44*D45</f>
        <v>0</v>
      </c>
      <c r="E46" s="37">
        <f t="shared" si="1"/>
        <v>0</v>
      </c>
      <c r="F46" s="37">
        <f t="shared" si="1"/>
        <v>0</v>
      </c>
      <c r="G46" s="37">
        <f t="shared" si="1"/>
        <v>0</v>
      </c>
      <c r="H46" s="37">
        <f t="shared" si="1"/>
        <v>0</v>
      </c>
      <c r="I46" s="37">
        <f t="shared" si="1"/>
        <v>0</v>
      </c>
      <c r="J46" s="37">
        <f t="shared" si="1"/>
        <v>0</v>
      </c>
    </row>
    <row r="47" spans="1:13" s="38" customFormat="1" ht="17.399999999999999" thickBot="1" x14ac:dyDescent="0.45">
      <c r="A47" s="38" t="s">
        <v>37</v>
      </c>
      <c r="B47" s="39"/>
      <c r="C47" s="40">
        <f>D46+E46+F46+G46+H46+I46+J46</f>
        <v>0</v>
      </c>
      <c r="H47" s="37"/>
      <c r="I47" s="37"/>
      <c r="J47" s="37"/>
    </row>
    <row r="48" spans="1:13" ht="17.399999999999999" thickTop="1" x14ac:dyDescent="0.4"/>
  </sheetData>
  <mergeCells count="1">
    <mergeCell ref="H2:H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zoomScale="80" zoomScaleNormal="80" workbookViewId="0">
      <selection activeCell="L16" sqref="L16"/>
    </sheetView>
  </sheetViews>
  <sheetFormatPr defaultColWidth="9.109375" defaultRowHeight="16.8" x14ac:dyDescent="0.4"/>
  <cols>
    <col min="1" max="16384" width="9.109375" style="2"/>
  </cols>
  <sheetData>
    <row r="1" spans="1:5" s="25" customFormat="1" x14ac:dyDescent="0.4">
      <c r="A1" s="25" t="s">
        <v>39</v>
      </c>
    </row>
    <row r="4" spans="1:5" x14ac:dyDescent="0.4">
      <c r="E4" s="54"/>
    </row>
    <row r="5" spans="1:5" x14ac:dyDescent="0.4">
      <c r="E5" s="54"/>
    </row>
    <row r="6" spans="1:5" x14ac:dyDescent="0.4">
      <c r="E6" s="54"/>
    </row>
    <row r="7" spans="1:5" x14ac:dyDescent="0.4">
      <c r="E7" s="5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1E64-1FF3-47E8-B218-8233FD67BBD1}">
  <dimension ref="A1:A20"/>
  <sheetViews>
    <sheetView showGridLines="0" zoomScale="77" workbookViewId="0">
      <selection activeCell="D28" sqref="D28"/>
    </sheetView>
  </sheetViews>
  <sheetFormatPr defaultColWidth="9.33203125" defaultRowHeight="16.8" x14ac:dyDescent="0.4"/>
  <cols>
    <col min="1" max="1" width="67.44140625" style="2" bestFit="1" customWidth="1"/>
    <col min="2" max="16384" width="9.33203125" style="2"/>
  </cols>
  <sheetData>
    <row r="1" spans="1:1" s="25" customFormat="1" x14ac:dyDescent="0.4">
      <c r="A1" s="25" t="s">
        <v>113</v>
      </c>
    </row>
    <row r="3" spans="1:1" x14ac:dyDescent="0.4">
      <c r="A3" s="56"/>
    </row>
    <row r="4" spans="1:1" x14ac:dyDescent="0.4">
      <c r="A4" s="56"/>
    </row>
    <row r="5" spans="1:1" x14ac:dyDescent="0.4">
      <c r="A5" s="56"/>
    </row>
    <row r="6" spans="1:1" x14ac:dyDescent="0.4">
      <c r="A6" s="56"/>
    </row>
    <row r="8" spans="1:1" s="25" customFormat="1" x14ac:dyDescent="0.4">
      <c r="A8" s="25" t="s">
        <v>114</v>
      </c>
    </row>
    <row r="16" spans="1:1" s="25" customFormat="1" x14ac:dyDescent="0.4">
      <c r="A16" s="25" t="s">
        <v>115</v>
      </c>
    </row>
    <row r="19" spans="1:1" x14ac:dyDescent="0.4">
      <c r="A19" s="2" t="s">
        <v>117</v>
      </c>
    </row>
    <row r="20" spans="1:1" x14ac:dyDescent="0.4">
      <c r="A20" s="2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2"/>
  <sheetViews>
    <sheetView showGridLines="0" topLeftCell="A11" zoomScale="80" zoomScaleNormal="80" workbookViewId="0">
      <selection activeCell="A3" sqref="A3"/>
    </sheetView>
  </sheetViews>
  <sheetFormatPr defaultColWidth="9.109375" defaultRowHeight="16.8" x14ac:dyDescent="0.4"/>
  <cols>
    <col min="1" max="16384" width="9.109375" style="2"/>
  </cols>
  <sheetData>
    <row r="1" spans="1:1" s="25" customFormat="1" x14ac:dyDescent="0.4">
      <c r="A1" s="25" t="s">
        <v>75</v>
      </c>
    </row>
    <row r="14" spans="1:1" s="25" customFormat="1" x14ac:dyDescent="0.4">
      <c r="A14" s="25" t="s">
        <v>76</v>
      </c>
    </row>
    <row r="22" spans="1:1" s="25" customFormat="1" x14ac:dyDescent="0.4">
      <c r="A22" s="25" t="s">
        <v>77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15.6640625" bestFit="1" customWidth="1"/>
    <col min="2" max="2" width="15.109375" bestFit="1" customWidth="1"/>
  </cols>
  <sheetData>
    <row r="1" spans="1:2" x14ac:dyDescent="0.3">
      <c r="A1" t="s">
        <v>86</v>
      </c>
      <c r="B1" t="s">
        <v>87</v>
      </c>
    </row>
    <row r="2" spans="1:2" x14ac:dyDescent="0.3">
      <c r="A2" s="50">
        <v>1</v>
      </c>
      <c r="B2" t="s">
        <v>88</v>
      </c>
    </row>
    <row r="3" spans="1:2" x14ac:dyDescent="0.3">
      <c r="A3">
        <v>1.1000000000000001</v>
      </c>
      <c r="B3" t="s">
        <v>89</v>
      </c>
    </row>
    <row r="4" spans="1:2" x14ac:dyDescent="0.3">
      <c r="A4">
        <v>1.2</v>
      </c>
      <c r="B4" t="s">
        <v>109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1F88E936438F48A73E0FA52A96FF85" ma:contentTypeVersion="14" ma:contentTypeDescription="Create a new document." ma:contentTypeScope="" ma:versionID="fe1819d6c3e4001a01053b0c5e8d01bd">
  <xsd:schema xmlns:xsd="http://www.w3.org/2001/XMLSchema" xmlns:xs="http://www.w3.org/2001/XMLSchema" xmlns:p="http://schemas.microsoft.com/office/2006/metadata/properties" xmlns:ns3="ea321119-a015-4d49-8304-cbcba7a528b6" xmlns:ns4="4dce8486-043f-4df3-9b89-1538c0eaac95" targetNamespace="http://schemas.microsoft.com/office/2006/metadata/properties" ma:root="true" ma:fieldsID="798d79908d240ed2b8c57c17deb095fd" ns3:_="" ns4:_="">
    <xsd:import namespace="ea321119-a015-4d49-8304-cbcba7a528b6"/>
    <xsd:import namespace="4dce8486-043f-4df3-9b89-1538c0eaac9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21119-a015-4d49-8304-cbcba7a528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e8486-043f-4df3-9b89-1538c0eaa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23BE9-C777-4CB1-AC5B-96AE4ABE51A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4dce8486-043f-4df3-9b89-1538c0eaac95"/>
    <ds:schemaRef ds:uri="http://purl.org/dc/terms/"/>
    <ds:schemaRef ds:uri="ea321119-a015-4d49-8304-cbcba7a528b6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958834-61C4-4D32-B1AB-7166EAD97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321119-a015-4d49-8304-cbcba7a528b6"/>
    <ds:schemaRef ds:uri="4dce8486-043f-4df3-9b89-1538c0eaac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F8D9F4-1BEC-42B2-9C73-6712466339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Classification</vt:lpstr>
      <vt:lpstr>Summary</vt:lpstr>
      <vt:lpstr>Task Breakdown</vt:lpstr>
      <vt:lpstr>Test Scenarios</vt:lpstr>
      <vt:lpstr>Scope</vt:lpstr>
      <vt:lpstr>Assumptions</vt:lpstr>
      <vt:lpstr>Template Version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Sajini Athukorala</dc:creator>
  <cp:lastModifiedBy>Mohammed Safwan</cp:lastModifiedBy>
  <dcterms:created xsi:type="dcterms:W3CDTF">2020-09-28T03:19:59Z</dcterms:created>
  <dcterms:modified xsi:type="dcterms:W3CDTF">2026-08-14T11:13:08Z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0x010100531F88E936438F48A73E0FA52A96FF85</vt:lpwstr>
  </property>
</Properties>
</file>